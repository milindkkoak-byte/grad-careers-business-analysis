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ak/Desktop/Project 4/"/>
    </mc:Choice>
  </mc:AlternateContent>
  <xr:revisionPtr revIDLastSave="0" documentId="13_ncr:1_{7D88AD88-B826-D640-A768-D8BC0A9D282F}" xr6:coauthVersionLast="47" xr6:coauthVersionMax="47" xr10:uidLastSave="{00000000-0000-0000-0000-000000000000}"/>
  <bookViews>
    <workbookView xWindow="0" yWindow="680" windowWidth="34200" windowHeight="21460" activeTab="5" xr2:uid="{DC297131-6B92-754D-8B28-20E48A57B537}"/>
  </bookViews>
  <sheets>
    <sheet name="Assumptions" sheetId="1" r:id="rId1"/>
    <sheet name="Forecast" sheetId="2" r:id="rId2"/>
    <sheet name="Scenarios " sheetId="7" r:id="rId3"/>
    <sheet name="Sensitivity" sheetId="4" r:id="rId4"/>
    <sheet name="Scenario Summary 1" sheetId="5" r:id="rId5"/>
    <sheet name="Scenario Summary 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4" l="1"/>
  <c r="D12" i="4"/>
  <c r="D18" i="1"/>
  <c r="D19" i="1" s="1"/>
  <c r="D10" i="1"/>
  <c r="E5" i="2" l="1"/>
  <c r="E6" i="2"/>
  <c r="E7" i="2"/>
  <c r="E8" i="2"/>
  <c r="E9" i="2"/>
  <c r="E10" i="2"/>
  <c r="E12" i="2"/>
  <c r="E13" i="2"/>
  <c r="E14" i="2"/>
  <c r="E15" i="2"/>
  <c r="E16" i="2"/>
  <c r="E11" i="2"/>
  <c r="C4" i="4"/>
  <c r="D22" i="1"/>
  <c r="D23" i="1" s="1"/>
  <c r="D8" i="2"/>
  <c r="D9" i="2"/>
  <c r="D11" i="2"/>
  <c r="D14" i="2"/>
  <c r="D16" i="2"/>
  <c r="D7" i="2"/>
  <c r="D10" i="2"/>
  <c r="D12" i="2"/>
  <c r="D13" i="2"/>
  <c r="D15" i="2"/>
  <c r="D5" i="2"/>
  <c r="D17" i="2" s="1"/>
  <c r="D6" i="2"/>
  <c r="D20" i="1"/>
  <c r="D21" i="1" s="1"/>
  <c r="E17" i="2" l="1"/>
</calcChain>
</file>

<file path=xl/sharedStrings.xml><?xml version="1.0" encoding="utf-8"?>
<sst xmlns="http://schemas.openxmlformats.org/spreadsheetml/2006/main" count="95" uniqueCount="63">
  <si>
    <t xml:space="preserve">Value </t>
  </si>
  <si>
    <t xml:space="preserve">Average program contract value </t>
  </si>
  <si>
    <t>Basline completion rate</t>
  </si>
  <si>
    <t xml:space="preserve">Portal investment cost </t>
  </si>
  <si>
    <t>Input</t>
  </si>
  <si>
    <t>Baseline annual programs</t>
  </si>
  <si>
    <t xml:space="preserve">Baseline annual revenue </t>
  </si>
  <si>
    <t>12 Month Revenue Forecast</t>
  </si>
  <si>
    <t xml:space="preserve">Baseline Revenue </t>
  </si>
  <si>
    <t>Month 1</t>
  </si>
  <si>
    <t>Months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</si>
  <si>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</si>
  <si>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</si>
  <si>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</si>
  <si>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</si>
  <si>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</si>
  <si>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</si>
  <si>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</si>
  <si>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</si>
  <si>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</si>
  <si>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</si>
  <si>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</si>
  <si>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Annual Total</t>
  </si>
  <si>
    <t>Assumption: annual contract revenue is spread evenly across 12 months because no monthly delivery or revenue schedule was supplied.</t>
  </si>
  <si>
    <t>Scenario Completion Rate</t>
  </si>
  <si>
    <t>Contract volume change per 1 percentage-point completion change</t>
  </si>
  <si>
    <t>Assumption: each 1 percentage-point change in completion changes annual contract volume by 1% relative to baseline, within the tested range. This relationship is unverified and assumes the effect occurs within the forecast year.</t>
  </si>
  <si>
    <t>Scenario annual programs</t>
  </si>
  <si>
    <t>Scenario annual revenue</t>
  </si>
  <si>
    <t>Additional annual revenue versus baseline</t>
  </si>
  <si>
    <t>Scenario Revenue</t>
  </si>
  <si>
    <t>$D$12</t>
  </si>
  <si>
    <t>$D$18</t>
  </si>
  <si>
    <t>$D$19</t>
  </si>
  <si>
    <t>$D$20</t>
  </si>
  <si>
    <t>Base Scenario</t>
  </si>
  <si>
    <t xml:space="preserve">Base Scenario
</t>
  </si>
  <si>
    <t>Best Scenario</t>
  </si>
  <si>
    <t>Worst Scenario</t>
  </si>
  <si>
    <t>Scenario Summary</t>
  </si>
  <si>
    <t>Changing Cells:</t>
  </si>
  <si>
    <t>Current Values:</t>
  </si>
  <si>
    <t>Result Cells:</t>
  </si>
  <si>
    <t>Notes: Current Values column represents values of changing cells at</t>
  </si>
  <si>
    <t>time Scenario Summary Report was created.  Changing cells for each</t>
  </si>
  <si>
    <t>scenario are highlighted in grey.</t>
  </si>
  <si>
    <t>Annual Revenue Sensitivity</t>
  </si>
  <si>
    <t>Test Contract Value</t>
  </si>
  <si>
    <t xml:space="preserve">Test Completion Rate </t>
  </si>
  <si>
    <t>Additional revenue after portal investment</t>
  </si>
  <si>
    <t>Revenue-recovery calculation excludes additional delivery and ongoing portal costs</t>
  </si>
  <si>
    <t>Completion lift needed for revenue recovery in percentage points</t>
  </si>
  <si>
    <t>Completion rate needed for revenue recovery</t>
  </si>
  <si>
    <t>$D$21</t>
  </si>
  <si>
    <t>$D$22</t>
  </si>
  <si>
    <t>Scenario completion rate</t>
  </si>
  <si>
    <t>Expected annual programs</t>
  </si>
  <si>
    <t xml:space="preserve">Annual revenue </t>
  </si>
  <si>
    <t>Additional revenue vs baseline</t>
  </si>
  <si>
    <t>additional revenue  less investment</t>
  </si>
  <si>
    <t>Revenue recovery excludes additional delivery and ongoing portal costs. This summary is static and must be regenerated after model changes.</t>
  </si>
  <si>
    <t xml:space="preserve"> </t>
  </si>
  <si>
    <t>Required completion lift from the 60%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</si>
</sst>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4"/>
      <color theme="1"/>
      <name val="Aptos Narrow"/>
      <scheme val="minor"/>
    </font>
    <font>
      <sz val="10"/>
      <color rgb="FF000000"/>
      <name val="Arial Unicode MS"/>
      <family val="2"/>
    </font>
    <font>
      <sz val="12"/>
      <color rgb="FF000000"/>
      <name val="Aptos Narrow"/>
      <scheme val="minor"/>
    </font>
    <font>
      <b/>
      <sz val="14"/>
      <color indexed="9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color indexed="18"/>
      <name val="Aptos Narrow"/>
      <family val="2"/>
      <scheme val="minor"/>
    </font>
    <font>
      <sz val="11"/>
      <color indexed="9"/>
      <name val="Aptos Narrow"/>
      <family val="2"/>
      <scheme val="minor"/>
    </font>
    <font>
      <sz val="8"/>
      <color theme="1"/>
      <name val="Aptos Narrow"/>
      <scheme val="minor"/>
    </font>
    <font>
      <sz val="14"/>
      <color indexed="9"/>
      <name val="Aptos Narrow"/>
      <family val="2"/>
      <scheme val="minor"/>
    </font>
    <font>
      <i/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4"/>
      <color indexed="18"/>
      <name val="Aptos Narrow"/>
      <family val="2"/>
      <scheme val="minor"/>
    </font>
    <font>
      <i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6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6" fillId="0" borderId="1" xfId="0" applyFont="1" applyBorder="1"/>
    <xf numFmtId="6" fontId="6" fillId="0" borderId="1" xfId="0" applyNumberFormat="1" applyFont="1" applyBorder="1" applyAlignment="1">
      <alignment horizontal="right"/>
    </xf>
    <xf numFmtId="9" fontId="6" fillId="0" borderId="1" xfId="0" applyNumberFormat="1" applyFont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6" fontId="2" fillId="2" borderId="1" xfId="0" applyNumberFormat="1" applyFont="1" applyFill="1" applyBorder="1"/>
    <xf numFmtId="0" fontId="12" fillId="0" borderId="1" xfId="0" applyFont="1" applyBorder="1" applyAlignment="1">
      <alignment wrapText="1"/>
    </xf>
    <xf numFmtId="6" fontId="12" fillId="0" borderId="1" xfId="0" applyNumberFormat="1" applyFont="1" applyBorder="1"/>
    <xf numFmtId="6" fontId="6" fillId="0" borderId="1" xfId="0" applyNumberFormat="1" applyFont="1" applyBorder="1"/>
    <xf numFmtId="2" fontId="11" fillId="0" borderId="1" xfId="0" applyNumberFormat="1" applyFont="1" applyBorder="1"/>
    <xf numFmtId="2" fontId="6" fillId="0" borderId="1" xfId="0" applyNumberFormat="1" applyFont="1" applyBorder="1" applyAlignment="1">
      <alignment horizontal="right"/>
    </xf>
    <xf numFmtId="0" fontId="13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right"/>
    </xf>
    <xf numFmtId="0" fontId="14" fillId="4" borderId="1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/>
    <xf numFmtId="6" fontId="2" fillId="2" borderId="1" xfId="0" applyNumberFormat="1" applyFont="1" applyFill="1" applyBorder="1" applyAlignment="1">
      <alignment horizontal="left"/>
    </xf>
    <xf numFmtId="164" fontId="0" fillId="0" borderId="1" xfId="1" applyNumberFormat="1" applyFont="1" applyBorder="1"/>
    <xf numFmtId="9" fontId="2" fillId="2" borderId="1" xfId="0" applyNumberFormat="1" applyFont="1" applyFill="1" applyBorder="1" applyAlignment="1">
      <alignment horizontal="left"/>
    </xf>
    <xf numFmtId="44" fontId="2" fillId="2" borderId="1" xfId="1" applyFont="1" applyFill="1" applyBorder="1"/>
    <xf numFmtId="0" fontId="19" fillId="0" borderId="0" xfId="0" applyFont="1" applyAlignment="1">
      <alignment wrapText="1"/>
    </xf>
    <xf numFmtId="0" fontId="20" fillId="0" borderId="0" xfId="0" applyFont="1"/>
    <xf numFmtId="0" fontId="21" fillId="0" borderId="1" xfId="0" applyFont="1" applyBorder="1" applyAlignment="1">
      <alignment wrapText="1"/>
    </xf>
    <xf numFmtId="0" fontId="16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7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left"/>
    </xf>
    <xf numFmtId="10" fontId="0" fillId="5" borderId="1" xfId="0" applyNumberFormat="1" applyFill="1" applyBorder="1" applyAlignment="1">
      <alignment horizontal="left"/>
    </xf>
    <xf numFmtId="6" fontId="0" fillId="0" borderId="1" xfId="0" applyNumberFormat="1" applyBorder="1" applyAlignment="1">
      <alignment horizontal="left"/>
    </xf>
    <xf numFmtId="0" fontId="18" fillId="3" borderId="1" xfId="0" applyFon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9" fontId="0" fillId="5" borderId="1" xfId="0" applyNumberFormat="1" applyFill="1" applyBorder="1" applyAlignment="1">
      <alignment horizontal="left"/>
    </xf>
    <xf numFmtId="10" fontId="11" fillId="0" borderId="1" xfId="2" applyNumberFormat="1" applyFont="1" applyBorder="1"/>
    <xf numFmtId="2" fontId="0" fillId="0" borderId="1" xfId="0" applyNumberFormat="1" applyBorder="1" applyAlignment="1">
      <alignment horizontal="left"/>
    </xf>
    <xf numFmtId="0" fontId="18" fillId="3" borderId="1" xfId="0" applyFont="1" applyFill="1" applyBorder="1" applyAlignment="1">
      <alignment horizontal="right"/>
    </xf>
    <xf numFmtId="0" fontId="22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left"/>
    </xf>
    <xf numFmtId="0" fontId="24" fillId="0" borderId="0" xfId="0" applyFont="1"/>
    <xf numFmtId="0" fontId="3" fillId="2" borderId="1" xfId="0" applyFont="1" applyFill="1" applyBorder="1"/>
    <xf numFmtId="165" fontId="11" fillId="0" borderId="1" xfId="1" applyNumberFormat="1" applyFont="1" applyBorder="1"/>
    <xf numFmtId="165" fontId="0" fillId="0" borderId="1" xfId="1" applyNumberFormat="1" applyFont="1" applyBorder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2D94-619E-F343-A8C4-A212B32F2C4A}">
  <dimension ref="A3:D23"/>
  <sheetViews>
    <sheetView zoomScale="125" workbookViewId="0">
      <selection activeCell="E16" sqref="E16"/>
    </sheetView>
  </sheetViews>
  <sheetFormatPr baseColWidth="10" defaultRowHeight="16" x14ac:dyDescent="0.2"/>
  <cols>
    <col min="1" max="1" width="51.83203125" style="9" customWidth="1"/>
    <col min="2" max="2" width="5.1640625" style="9" customWidth="1"/>
    <col min="3" max="3" width="39.5" style="9" customWidth="1"/>
    <col min="4" max="4" width="51.5" style="9" customWidth="1"/>
    <col min="5" max="5" width="58.33203125" style="9" customWidth="1"/>
    <col min="6" max="16384" width="10.83203125" style="9"/>
  </cols>
  <sheetData>
    <row r="3" spans="1:4" ht="60" x14ac:dyDescent="0.2">
      <c r="A3" s="32" t="s">
        <v>26</v>
      </c>
    </row>
    <row r="4" spans="1:4" ht="19" x14ac:dyDescent="0.25">
      <c r="A4" s="33"/>
      <c r="C4" s="5" t="s">
        <v>4</v>
      </c>
      <c r="D4" s="5" t="s">
        <v>0</v>
      </c>
    </row>
    <row r="5" spans="1:4" x14ac:dyDescent="0.2">
      <c r="A5" s="33"/>
      <c r="C5" s="6" t="s">
        <v>5</v>
      </c>
      <c r="D5" s="20">
        <v>30</v>
      </c>
    </row>
    <row r="6" spans="1:4" x14ac:dyDescent="0.2">
      <c r="A6" s="33"/>
      <c r="C6" s="6" t="s">
        <v>1</v>
      </c>
      <c r="D6" s="7">
        <v>40000</v>
      </c>
    </row>
    <row r="7" spans="1:4" x14ac:dyDescent="0.2">
      <c r="A7" s="33"/>
      <c r="C7" s="6" t="s">
        <v>2</v>
      </c>
      <c r="D7" s="8">
        <v>0.6</v>
      </c>
    </row>
    <row r="8" spans="1:4" x14ac:dyDescent="0.2">
      <c r="A8" s="33"/>
      <c r="C8" s="6" t="s">
        <v>3</v>
      </c>
      <c r="D8" s="7">
        <v>130000</v>
      </c>
    </row>
    <row r="9" spans="1:4" x14ac:dyDescent="0.2">
      <c r="A9" s="33"/>
      <c r="D9" s="10"/>
    </row>
    <row r="10" spans="1:4" x14ac:dyDescent="0.2">
      <c r="A10" s="33"/>
      <c r="C10" s="6" t="s">
        <v>6</v>
      </c>
      <c r="D10" s="7">
        <f>D5*D6</f>
        <v>1200000</v>
      </c>
    </row>
    <row r="11" spans="1:4" x14ac:dyDescent="0.2">
      <c r="A11" s="33"/>
      <c r="D11" s="10"/>
    </row>
    <row r="12" spans="1:4" x14ac:dyDescent="0.2">
      <c r="A12" s="33"/>
      <c r="C12" s="6" t="s">
        <v>24</v>
      </c>
      <c r="D12" s="8">
        <v>0.6</v>
      </c>
    </row>
    <row r="13" spans="1:4" ht="34" x14ac:dyDescent="0.2">
      <c r="A13" s="33"/>
      <c r="C13" s="16" t="s">
        <v>25</v>
      </c>
      <c r="D13" s="8">
        <v>0.01</v>
      </c>
    </row>
    <row r="14" spans="1:4" x14ac:dyDescent="0.2">
      <c r="A14" s="33"/>
      <c r="D14" s="10"/>
    </row>
    <row r="15" spans="1:4" x14ac:dyDescent="0.2">
      <c r="A15" s="33"/>
      <c r="D15" s="10"/>
    </row>
    <row r="16" spans="1:4" x14ac:dyDescent="0.2">
      <c r="A16" s="33"/>
    </row>
    <row r="17" spans="1:4" x14ac:dyDescent="0.2">
      <c r="A17" s="33"/>
    </row>
    <row r="18" spans="1:4" x14ac:dyDescent="0.2">
      <c r="A18" s="33"/>
      <c r="C18" s="6" t="s">
        <v>27</v>
      </c>
      <c r="D18" s="6">
        <f>$D$5*(1+($D$12-$D$7)*100*$D$13)</f>
        <v>30</v>
      </c>
    </row>
    <row r="19" spans="1:4" x14ac:dyDescent="0.2">
      <c r="A19" s="33"/>
      <c r="C19" s="6" t="s">
        <v>28</v>
      </c>
      <c r="D19" s="17">
        <f>D18*$D$6</f>
        <v>1200000</v>
      </c>
    </row>
    <row r="20" spans="1:4" ht="17" x14ac:dyDescent="0.2">
      <c r="A20" s="33"/>
      <c r="C20" s="16" t="s">
        <v>29</v>
      </c>
      <c r="D20" s="18">
        <f>D19-D10</f>
        <v>0</v>
      </c>
    </row>
    <row r="21" spans="1:4" ht="30" x14ac:dyDescent="0.2">
      <c r="A21" s="32" t="s">
        <v>50</v>
      </c>
      <c r="C21" s="6" t="s">
        <v>49</v>
      </c>
      <c r="D21" s="18">
        <f>D20-$D$8</f>
        <v>-130000</v>
      </c>
    </row>
    <row r="22" spans="1:4" ht="35" x14ac:dyDescent="0.25">
      <c r="A22" s="33"/>
      <c r="C22" s="34" t="s">
        <v>51</v>
      </c>
      <c r="D22" s="19">
        <f>$D$8/($D$10*$D$13)</f>
        <v>10.833333333333334</v>
      </c>
    </row>
    <row r="23" spans="1:4" ht="18" x14ac:dyDescent="0.25">
      <c r="C23" s="34" t="s">
        <v>52</v>
      </c>
      <c r="D23" s="44">
        <f>$D$7+D22/100</f>
        <v>0.70833333333333326</v>
      </c>
    </row>
  </sheetData>
  <scenarios current="0" show="0" sqref="D18:D22">
    <scenario name="Base Scenario" locked="1" count="1" user="Milind Koak" comment="Base Scenario_x000a__x000a_">
      <inputCells r="D12" val="0.6" numFmtId="9"/>
    </scenario>
    <scenario name="Best Scenario" locked="1" count="1" user="Milind Koak" comment="Best Scenario">
      <inputCells r="D12" val="0.72" numFmtId="9"/>
    </scenario>
    <scenario name="Worst Scenario" locked="1" count="1" user="Milind Koak" comment="Worst Scenario">
      <inputCells r="D12" val="0.55" numFmtId="9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9674-4736-3F40-9D76-DD2E05BD3691}">
  <dimension ref="A1:E19"/>
  <sheetViews>
    <sheetView workbookViewId="0">
      <selection activeCell="G19" sqref="G19"/>
    </sheetView>
  </sheetViews>
  <sheetFormatPr baseColWidth="10" defaultRowHeight="16" x14ac:dyDescent="0.2"/>
  <cols>
    <col min="1" max="1" width="44.1640625" customWidth="1"/>
    <col min="3" max="3" width="36.5" customWidth="1"/>
    <col min="4" max="4" width="38.83203125" customWidth="1"/>
    <col min="5" max="5" width="18.6640625" bestFit="1" customWidth="1"/>
  </cols>
  <sheetData>
    <row r="1" spans="1:5" ht="29" x14ac:dyDescent="0.35">
      <c r="A1" s="12" t="s">
        <v>7</v>
      </c>
    </row>
    <row r="4" spans="1:5" s="11" customFormat="1" ht="19" x14ac:dyDescent="0.25">
      <c r="C4" s="5" t="s">
        <v>10</v>
      </c>
      <c r="D4" s="5" t="s">
        <v>8</v>
      </c>
      <c r="E4" s="50" t="s">
        <v>30</v>
      </c>
    </row>
    <row r="5" spans="1:5" ht="16" customHeight="1" x14ac:dyDescent="0.25">
      <c r="C5" s="1" t="s">
        <v>9</v>
      </c>
      <c r="D5" s="2">
        <f>Assumptions!$D$10/12</f>
        <v>100000</v>
      </c>
      <c r="E5" s="51">
        <f>Assumptions!$D$19/12</f>
        <v>100000</v>
      </c>
    </row>
    <row r="6" spans="1:5" ht="17" x14ac:dyDescent="0.25">
      <c r="C6" s="1" t="s">
        <v>11</v>
      </c>
      <c r="D6" s="2">
        <f>Assumptions!$D$10/12</f>
        <v>100000</v>
      </c>
      <c r="E6" s="51">
        <f>Assumptions!$D$19/12</f>
        <v>100000</v>
      </c>
    </row>
    <row r="7" spans="1:5" ht="17" x14ac:dyDescent="0.25">
      <c r="C7" s="1" t="s">
        <v>12</v>
      </c>
      <c r="D7" s="2">
        <f>Assumptions!$D$10/12</f>
        <v>100000</v>
      </c>
      <c r="E7" s="51">
        <f>Assumptions!$D$19/12</f>
        <v>100000</v>
      </c>
    </row>
    <row r="8" spans="1:5" ht="17" x14ac:dyDescent="0.25">
      <c r="C8" s="1" t="s">
        <v>13</v>
      </c>
      <c r="D8" s="2">
        <f>Assumptions!$D$10/12</f>
        <v>100000</v>
      </c>
      <c r="E8" s="51">
        <f>Assumptions!$D$19/12</f>
        <v>100000</v>
      </c>
    </row>
    <row r="9" spans="1:5" ht="17" x14ac:dyDescent="0.25">
      <c r="C9" s="1" t="s">
        <v>14</v>
      </c>
      <c r="D9" s="2">
        <f>Assumptions!$D$10/12</f>
        <v>100000</v>
      </c>
      <c r="E9" s="51">
        <f>Assumptions!$D$19/12</f>
        <v>100000</v>
      </c>
    </row>
    <row r="10" spans="1:5" ht="17" x14ac:dyDescent="0.25">
      <c r="C10" s="1" t="s">
        <v>15</v>
      </c>
      <c r="D10" s="2">
        <f>Assumptions!$D$10/12</f>
        <v>100000</v>
      </c>
      <c r="E10" s="51">
        <f>Assumptions!$D$19/12</f>
        <v>100000</v>
      </c>
    </row>
    <row r="11" spans="1:5" ht="17" x14ac:dyDescent="0.25">
      <c r="C11" s="1" t="s">
        <v>16</v>
      </c>
      <c r="D11" s="2">
        <f>Assumptions!$D$10/12</f>
        <v>100000</v>
      </c>
      <c r="E11" s="51">
        <f>Assumptions!$D$19/12</f>
        <v>100000</v>
      </c>
    </row>
    <row r="12" spans="1:5" ht="17" x14ac:dyDescent="0.25">
      <c r="C12" s="1" t="s">
        <v>17</v>
      </c>
      <c r="D12" s="2">
        <f>Assumptions!$D$10/12</f>
        <v>100000</v>
      </c>
      <c r="E12" s="51">
        <f>Assumptions!$D$19/12</f>
        <v>100000</v>
      </c>
    </row>
    <row r="13" spans="1:5" ht="17" x14ac:dyDescent="0.25">
      <c r="C13" s="1" t="s">
        <v>18</v>
      </c>
      <c r="D13" s="2">
        <f>Assumptions!$D$10/12</f>
        <v>100000</v>
      </c>
      <c r="E13" s="51">
        <f>Assumptions!$D$19/12</f>
        <v>100000</v>
      </c>
    </row>
    <row r="14" spans="1:5" ht="17" x14ac:dyDescent="0.25">
      <c r="C14" s="1" t="s">
        <v>19</v>
      </c>
      <c r="D14" s="2">
        <f>Assumptions!$D$10/12</f>
        <v>100000</v>
      </c>
      <c r="E14" s="51">
        <f>Assumptions!$D$19/12</f>
        <v>100000</v>
      </c>
    </row>
    <row r="15" spans="1:5" ht="17" x14ac:dyDescent="0.25">
      <c r="C15" s="1" t="s">
        <v>20</v>
      </c>
      <c r="D15" s="2">
        <f>Assumptions!$D$10/12</f>
        <v>100000</v>
      </c>
      <c r="E15" s="51">
        <f>Assumptions!$D$19/12</f>
        <v>100000</v>
      </c>
    </row>
    <row r="16" spans="1:5" ht="17" x14ac:dyDescent="0.25">
      <c r="C16" s="1" t="s">
        <v>21</v>
      </c>
      <c r="D16" s="2">
        <f>Assumptions!$D$10/12</f>
        <v>100000</v>
      </c>
      <c r="E16" s="51">
        <f>Assumptions!$D$19/12</f>
        <v>100000</v>
      </c>
    </row>
    <row r="17" spans="3:5" x14ac:dyDescent="0.2">
      <c r="C17" s="4" t="s">
        <v>22</v>
      </c>
      <c r="D17" s="15">
        <f>SUM(D5:D16)</f>
        <v>1200000</v>
      </c>
      <c r="E17" s="52">
        <f>SUM(E5:E16)</f>
        <v>1200000</v>
      </c>
    </row>
    <row r="19" spans="3:5" ht="80" x14ac:dyDescent="0.25">
      <c r="C19" s="14" t="s">
        <v>23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1577-5906-7244-9660-AF864C65D0EC}">
  <sheetPr>
    <outlinePr summaryBelow="0"/>
  </sheetPr>
  <dimension ref="B2:G18"/>
  <sheetViews>
    <sheetView showGridLines="0" zoomScale="137" workbookViewId="0">
      <selection activeCell="C14" sqref="C14"/>
    </sheetView>
  </sheetViews>
  <sheetFormatPr baseColWidth="10" defaultRowHeight="16" outlineLevelRow="1" outlineLevelCol="1" x14ac:dyDescent="0.2"/>
  <cols>
    <col min="2" max="2" width="31.33203125" customWidth="1"/>
    <col min="3" max="3" width="46.83203125" customWidth="1"/>
    <col min="4" max="4" width="27.5" customWidth="1" outlineLevel="1"/>
    <col min="5" max="5" width="21.33203125" customWidth="1" outlineLevel="1"/>
    <col min="6" max="6" width="20" customWidth="1" outlineLevel="1"/>
    <col min="7" max="7" width="20.6640625" customWidth="1" outlineLevel="1"/>
  </cols>
  <sheetData>
    <row r="2" spans="2:7" ht="19" x14ac:dyDescent="0.25">
      <c r="B2" s="21" t="s">
        <v>39</v>
      </c>
      <c r="C2" s="21"/>
      <c r="D2" s="46"/>
      <c r="E2" s="46"/>
      <c r="F2" s="46"/>
      <c r="G2" s="46"/>
    </row>
    <row r="3" spans="2:7" ht="19" x14ac:dyDescent="0.25">
      <c r="B3" s="21"/>
      <c r="C3" s="21"/>
      <c r="D3" s="41" t="s">
        <v>41</v>
      </c>
      <c r="E3" s="41" t="s">
        <v>35</v>
      </c>
      <c r="F3" s="41" t="s">
        <v>37</v>
      </c>
      <c r="G3" s="41" t="s">
        <v>38</v>
      </c>
    </row>
    <row r="4" spans="2:7" ht="36" outlineLevel="1" x14ac:dyDescent="0.25">
      <c r="B4" s="47"/>
      <c r="C4" s="47"/>
      <c r="D4" s="36"/>
      <c r="E4" s="37" t="s">
        <v>36</v>
      </c>
      <c r="F4" s="37" t="s">
        <v>37</v>
      </c>
      <c r="G4" s="37" t="s">
        <v>38</v>
      </c>
    </row>
    <row r="5" spans="2:7" ht="19" x14ac:dyDescent="0.25">
      <c r="B5" s="48" t="s">
        <v>40</v>
      </c>
      <c r="C5" s="48"/>
      <c r="D5" s="36"/>
      <c r="E5" s="36"/>
      <c r="F5" s="36"/>
      <c r="G5" s="36"/>
    </row>
    <row r="6" spans="2:7" ht="19" outlineLevel="1" x14ac:dyDescent="0.25">
      <c r="B6" s="47"/>
      <c r="C6" s="47" t="s">
        <v>55</v>
      </c>
      <c r="D6" s="38">
        <v>0.6</v>
      </c>
      <c r="E6" s="39">
        <v>0.6</v>
      </c>
      <c r="F6" s="39">
        <v>0.72</v>
      </c>
      <c r="G6" s="39">
        <v>0.55000000000000004</v>
      </c>
    </row>
    <row r="7" spans="2:7" ht="19" x14ac:dyDescent="0.25">
      <c r="B7" s="48" t="s">
        <v>42</v>
      </c>
      <c r="C7" s="48"/>
      <c r="D7" s="36"/>
      <c r="E7" s="36"/>
      <c r="F7" s="36"/>
      <c r="G7" s="36"/>
    </row>
    <row r="8" spans="2:7" ht="19" outlineLevel="1" x14ac:dyDescent="0.25">
      <c r="B8" s="47"/>
      <c r="C8" s="47" t="s">
        <v>56</v>
      </c>
      <c r="D8" s="36">
        <v>30</v>
      </c>
      <c r="E8" s="36">
        <v>30</v>
      </c>
      <c r="F8" s="36">
        <v>33.6</v>
      </c>
      <c r="G8" s="36">
        <v>28.5</v>
      </c>
    </row>
    <row r="9" spans="2:7" ht="19" outlineLevel="1" x14ac:dyDescent="0.25">
      <c r="B9" s="47"/>
      <c r="C9" s="47" t="s">
        <v>57</v>
      </c>
      <c r="D9" s="40">
        <v>1200000</v>
      </c>
      <c r="E9" s="40">
        <v>1200000</v>
      </c>
      <c r="F9" s="40">
        <v>1344000</v>
      </c>
      <c r="G9" s="40">
        <v>1140000</v>
      </c>
    </row>
    <row r="10" spans="2:7" ht="19" outlineLevel="1" x14ac:dyDescent="0.25">
      <c r="B10" s="47"/>
      <c r="C10" s="47" t="s">
        <v>58</v>
      </c>
      <c r="D10" s="40">
        <v>0</v>
      </c>
      <c r="E10" s="40">
        <v>0</v>
      </c>
      <c r="F10" s="40">
        <v>144000</v>
      </c>
      <c r="G10" s="40">
        <v>-59999.999999999804</v>
      </c>
    </row>
    <row r="11" spans="2:7" ht="19" outlineLevel="1" x14ac:dyDescent="0.25">
      <c r="B11" s="47"/>
      <c r="C11" s="47" t="s">
        <v>59</v>
      </c>
      <c r="D11" s="40">
        <v>-130000</v>
      </c>
      <c r="E11" s="40">
        <v>-130000</v>
      </c>
      <c r="F11" s="40">
        <v>14000</v>
      </c>
      <c r="G11" s="40">
        <v>-190000</v>
      </c>
    </row>
    <row r="12" spans="2:7" ht="19" outlineLevel="1" x14ac:dyDescent="0.25">
      <c r="B12" s="47"/>
      <c r="C12" s="47" t="s">
        <v>62</v>
      </c>
      <c r="D12" s="45">
        <v>10.8333333333333</v>
      </c>
      <c r="E12" s="45">
        <v>10.8333333333333</v>
      </c>
      <c r="F12" s="45">
        <v>10.8333333333333</v>
      </c>
      <c r="G12" s="45">
        <v>10.8333333333333</v>
      </c>
    </row>
    <row r="13" spans="2:7" ht="34" x14ac:dyDescent="0.2">
      <c r="B13" s="13" t="s">
        <v>43</v>
      </c>
    </row>
    <row r="14" spans="2:7" x14ac:dyDescent="0.2">
      <c r="B14" t="s">
        <v>44</v>
      </c>
    </row>
    <row r="15" spans="2:7" x14ac:dyDescent="0.2">
      <c r="B15" t="s">
        <v>45</v>
      </c>
    </row>
    <row r="18" spans="2:2" x14ac:dyDescent="0.2">
      <c r="B18" s="4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C734-EF1E-A54A-B25C-15400915A0BD}">
  <dimension ref="C2:H14"/>
  <sheetViews>
    <sheetView topLeftCell="B1" zoomScale="178" workbookViewId="0">
      <selection activeCell="F19" sqref="F19"/>
    </sheetView>
  </sheetViews>
  <sheetFormatPr baseColWidth="10" defaultRowHeight="16" x14ac:dyDescent="0.2"/>
  <cols>
    <col min="3" max="3" width="30.83203125" bestFit="1" customWidth="1"/>
    <col min="4" max="8" width="11.83203125" bestFit="1" customWidth="1"/>
  </cols>
  <sheetData>
    <row r="2" spans="3:8" ht="22" x14ac:dyDescent="0.3">
      <c r="C2" s="27" t="s">
        <v>46</v>
      </c>
    </row>
    <row r="4" spans="3:8" x14ac:dyDescent="0.2">
      <c r="C4" s="28">
        <f>Assumptions!$D$5*(1+($D$13-Assumptions!$D$7)*100*Assumptions!$D$13)*$D$12</f>
        <v>1200000</v>
      </c>
      <c r="D4" s="31">
        <v>35000</v>
      </c>
      <c r="E4" s="31">
        <v>37500</v>
      </c>
      <c r="F4" s="31">
        <v>40000</v>
      </c>
      <c r="G4" s="31">
        <v>42500</v>
      </c>
      <c r="H4" s="31">
        <v>45000</v>
      </c>
    </row>
    <row r="5" spans="3:8" x14ac:dyDescent="0.2">
      <c r="C5" s="30">
        <v>0.55000000000000004</v>
      </c>
      <c r="D5" s="29">
        <f t="dataTable" ref="D5:H9" dt2D="1" dtr="1" r1="D12" r2="D13"/>
        <v>997500.00000000012</v>
      </c>
      <c r="E5" s="29">
        <v>1068750.0000000002</v>
      </c>
      <c r="F5" s="29">
        <v>1140000.0000000002</v>
      </c>
      <c r="G5" s="29">
        <v>1211250.0000000002</v>
      </c>
      <c r="H5" s="29">
        <v>1282500.0000000002</v>
      </c>
    </row>
    <row r="6" spans="3:8" x14ac:dyDescent="0.2">
      <c r="C6" s="30">
        <v>0.6</v>
      </c>
      <c r="D6" s="29">
        <v>1050000</v>
      </c>
      <c r="E6" s="29">
        <v>1125000</v>
      </c>
      <c r="F6" s="29">
        <v>1200000</v>
      </c>
      <c r="G6" s="29">
        <v>1275000</v>
      </c>
      <c r="H6" s="29">
        <v>1350000</v>
      </c>
    </row>
    <row r="7" spans="3:8" x14ac:dyDescent="0.2">
      <c r="C7" s="30">
        <v>0.65</v>
      </c>
      <c r="D7" s="29">
        <v>1102500</v>
      </c>
      <c r="E7" s="29">
        <v>1181250</v>
      </c>
      <c r="F7" s="29">
        <v>1260000</v>
      </c>
      <c r="G7" s="29">
        <v>1338750</v>
      </c>
      <c r="H7" s="29">
        <v>1417500</v>
      </c>
    </row>
    <row r="8" spans="3:8" x14ac:dyDescent="0.2">
      <c r="C8" s="30">
        <v>0.7</v>
      </c>
      <c r="D8" s="29">
        <v>1155000</v>
      </c>
      <c r="E8" s="29">
        <v>1237500</v>
      </c>
      <c r="F8" s="29">
        <v>1320000</v>
      </c>
      <c r="G8" s="29">
        <v>1402500</v>
      </c>
      <c r="H8" s="29">
        <v>1485000</v>
      </c>
    </row>
    <row r="9" spans="3:8" x14ac:dyDescent="0.2">
      <c r="C9" s="30">
        <v>0.75</v>
      </c>
      <c r="D9" s="29">
        <v>1207500</v>
      </c>
      <c r="E9" s="29">
        <v>1293750</v>
      </c>
      <c r="F9" s="29">
        <v>1380000</v>
      </c>
      <c r="G9" s="29">
        <v>1466250</v>
      </c>
      <c r="H9" s="29">
        <v>1552500</v>
      </c>
    </row>
    <row r="12" spans="3:8" x14ac:dyDescent="0.2">
      <c r="C12" s="1" t="s">
        <v>47</v>
      </c>
      <c r="D12" s="2">
        <f>Assumptions!$D$6</f>
        <v>40000</v>
      </c>
    </row>
    <row r="13" spans="3:8" x14ac:dyDescent="0.2">
      <c r="C13" s="1" t="s">
        <v>48</v>
      </c>
      <c r="D13" s="3">
        <f>Assumptions!$D$12</f>
        <v>0.6</v>
      </c>
    </row>
    <row r="14" spans="3:8" x14ac:dyDescent="0.2">
      <c r="E1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3B9E-87FC-494F-941B-4EB91DCC6DB2}">
  <sheetPr>
    <outlinePr summaryBelow="0"/>
  </sheetPr>
  <dimension ref="B2:G13"/>
  <sheetViews>
    <sheetView showGridLines="0" workbookViewId="0">
      <selection activeCell="F42" sqref="F42"/>
    </sheetView>
  </sheetViews>
  <sheetFormatPr baseColWidth="10" defaultRowHeight="16" outlineLevelRow="1" outlineLevelCol="1" x14ac:dyDescent="0.2"/>
  <cols>
    <col min="2" max="2" width="57.1640625" bestFit="1" customWidth="1"/>
    <col min="3" max="3" width="12" customWidth="1"/>
    <col min="4" max="4" width="22.6640625" customWidth="1" outlineLevel="1"/>
    <col min="5" max="5" width="20.83203125" customWidth="1" outlineLevel="1"/>
    <col min="6" max="6" width="19" customWidth="1" outlineLevel="1"/>
    <col min="7" max="7" width="22.83203125" customWidth="1" outlineLevel="1"/>
  </cols>
  <sheetData>
    <row r="2" spans="2:7" ht="19" x14ac:dyDescent="0.25">
      <c r="B2" s="21" t="s">
        <v>39</v>
      </c>
      <c r="C2" s="21"/>
      <c r="D2" s="22"/>
      <c r="E2" s="22"/>
      <c r="F2" s="22"/>
      <c r="G2" s="22"/>
    </row>
    <row r="3" spans="2:7" s="26" customFormat="1" ht="19" collapsed="1" x14ac:dyDescent="0.25">
      <c r="B3" s="25"/>
      <c r="C3" s="21"/>
      <c r="D3" s="41" t="s">
        <v>41</v>
      </c>
      <c r="E3" s="41" t="s">
        <v>35</v>
      </c>
      <c r="F3" s="41" t="s">
        <v>37</v>
      </c>
      <c r="G3" s="41" t="s">
        <v>38</v>
      </c>
    </row>
    <row r="4" spans="2:7" ht="36" hidden="1" outlineLevel="1" x14ac:dyDescent="0.2">
      <c r="B4" s="23"/>
      <c r="C4" s="23"/>
      <c r="D4" s="36"/>
      <c r="E4" s="37" t="s">
        <v>36</v>
      </c>
      <c r="F4" s="37" t="s">
        <v>37</v>
      </c>
      <c r="G4" s="37" t="s">
        <v>38</v>
      </c>
    </row>
    <row r="5" spans="2:7" x14ac:dyDescent="0.2">
      <c r="B5" s="24" t="s">
        <v>40</v>
      </c>
      <c r="C5" s="24"/>
      <c r="D5" s="36"/>
      <c r="E5" s="36"/>
      <c r="F5" s="36"/>
      <c r="G5" s="36"/>
    </row>
    <row r="6" spans="2:7" outlineLevel="1" x14ac:dyDescent="0.2">
      <c r="B6" s="23"/>
      <c r="C6" s="23" t="s">
        <v>31</v>
      </c>
      <c r="D6" s="42">
        <v>0.72</v>
      </c>
      <c r="E6" s="43">
        <v>0.6</v>
      </c>
      <c r="F6" s="43">
        <v>0.72</v>
      </c>
      <c r="G6" s="43">
        <v>0.55000000000000004</v>
      </c>
    </row>
    <row r="7" spans="2:7" x14ac:dyDescent="0.2">
      <c r="B7" s="24" t="s">
        <v>42</v>
      </c>
      <c r="C7" s="24"/>
      <c r="D7" s="36"/>
      <c r="E7" s="36"/>
      <c r="F7" s="36"/>
      <c r="G7" s="36"/>
    </row>
    <row r="8" spans="2:7" outlineLevel="1" x14ac:dyDescent="0.2">
      <c r="B8" s="23"/>
      <c r="C8" s="23" t="s">
        <v>32</v>
      </c>
      <c r="D8" s="36">
        <v>33.6</v>
      </c>
      <c r="E8" s="36">
        <v>30</v>
      </c>
      <c r="F8" s="36">
        <v>33.6</v>
      </c>
      <c r="G8" s="36">
        <v>28.5</v>
      </c>
    </row>
    <row r="9" spans="2:7" outlineLevel="1" x14ac:dyDescent="0.2">
      <c r="B9" s="23"/>
      <c r="C9" s="23" t="s">
        <v>33</v>
      </c>
      <c r="D9" s="40">
        <v>1344000</v>
      </c>
      <c r="E9" s="40">
        <v>1200000</v>
      </c>
      <c r="F9" s="40">
        <v>1344000</v>
      </c>
      <c r="G9" s="40">
        <v>1140000</v>
      </c>
    </row>
    <row r="10" spans="2:7" outlineLevel="1" x14ac:dyDescent="0.2">
      <c r="B10" s="23"/>
      <c r="C10" s="23" t="s">
        <v>34</v>
      </c>
      <c r="D10" s="40">
        <v>144000</v>
      </c>
      <c r="E10" s="40">
        <v>0</v>
      </c>
      <c r="F10" s="40">
        <v>144000</v>
      </c>
      <c r="G10" s="40">
        <v>-59999.999999999804</v>
      </c>
    </row>
    <row r="11" spans="2:7" x14ac:dyDescent="0.2">
      <c r="B11" t="s">
        <v>43</v>
      </c>
    </row>
    <row r="12" spans="2:7" x14ac:dyDescent="0.2">
      <c r="B12" t="s">
        <v>44</v>
      </c>
    </row>
    <row r="13" spans="2:7" x14ac:dyDescent="0.2">
      <c r="B13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69BA-98C4-4149-9CC4-856F986537F2}">
  <sheetPr>
    <outlinePr summaryBelow="0"/>
  </sheetPr>
  <dimension ref="B2:G15"/>
  <sheetViews>
    <sheetView showGridLines="0" tabSelected="1" zoomScale="133" workbookViewId="0">
      <selection activeCell="D39" sqref="D39"/>
    </sheetView>
  </sheetViews>
  <sheetFormatPr baseColWidth="10" defaultRowHeight="16" outlineLevelRow="1" outlineLevelCol="1" x14ac:dyDescent="0.2"/>
  <cols>
    <col min="2" max="3" width="29.6640625" customWidth="1"/>
    <col min="4" max="4" width="29.6640625" customWidth="1" outlineLevel="1"/>
    <col min="5" max="5" width="27.5" customWidth="1" outlineLevel="1"/>
    <col min="6" max="6" width="28.5" customWidth="1" outlineLevel="1"/>
    <col min="7" max="7" width="25.83203125" customWidth="1" outlineLevel="1"/>
  </cols>
  <sheetData>
    <row r="2" spans="2:7" ht="19" x14ac:dyDescent="0.25">
      <c r="B2" s="21" t="s">
        <v>39</v>
      </c>
      <c r="C2" s="21"/>
      <c r="D2" s="22"/>
      <c r="E2" s="22"/>
      <c r="F2" s="22"/>
      <c r="G2" s="22"/>
    </row>
    <row r="3" spans="2:7" ht="19" collapsed="1" x14ac:dyDescent="0.25">
      <c r="B3" s="21"/>
      <c r="C3" s="21"/>
      <c r="D3" s="35" t="s">
        <v>41</v>
      </c>
      <c r="E3" s="35" t="s">
        <v>35</v>
      </c>
      <c r="F3" s="35" t="s">
        <v>37</v>
      </c>
      <c r="G3" s="35" t="s">
        <v>38</v>
      </c>
    </row>
    <row r="4" spans="2:7" ht="36" hidden="1" outlineLevel="1" x14ac:dyDescent="0.2">
      <c r="B4" s="23"/>
      <c r="C4" s="23"/>
      <c r="D4" s="36"/>
      <c r="E4" s="37" t="s">
        <v>36</v>
      </c>
      <c r="F4" s="37" t="s">
        <v>37</v>
      </c>
      <c r="G4" s="37" t="s">
        <v>38</v>
      </c>
    </row>
    <row r="5" spans="2:7" x14ac:dyDescent="0.2">
      <c r="B5" s="24" t="s">
        <v>40</v>
      </c>
      <c r="C5" s="24"/>
      <c r="D5" s="36"/>
      <c r="E5" s="36"/>
      <c r="F5" s="36"/>
      <c r="G5" s="36"/>
    </row>
    <row r="6" spans="2:7" outlineLevel="1" x14ac:dyDescent="0.2">
      <c r="B6" s="23"/>
      <c r="C6" s="23" t="s">
        <v>31</v>
      </c>
      <c r="D6" s="38">
        <v>0.6</v>
      </c>
      <c r="E6" s="39">
        <v>0.6</v>
      </c>
      <c r="F6" s="39">
        <v>0.72</v>
      </c>
      <c r="G6" s="39">
        <v>0.55000000000000004</v>
      </c>
    </row>
    <row r="7" spans="2:7" x14ac:dyDescent="0.2">
      <c r="B7" s="24" t="s">
        <v>42</v>
      </c>
      <c r="C7" s="24"/>
      <c r="D7" s="36"/>
      <c r="E7" s="36"/>
      <c r="F7" s="36"/>
      <c r="G7" s="36"/>
    </row>
    <row r="8" spans="2:7" outlineLevel="1" x14ac:dyDescent="0.2">
      <c r="B8" s="23"/>
      <c r="C8" s="23" t="s">
        <v>32</v>
      </c>
      <c r="D8" s="36">
        <v>30</v>
      </c>
      <c r="E8" s="36">
        <v>30</v>
      </c>
      <c r="F8" s="36">
        <v>33.6</v>
      </c>
      <c r="G8" s="36">
        <v>28.5</v>
      </c>
    </row>
    <row r="9" spans="2:7" outlineLevel="1" x14ac:dyDescent="0.2">
      <c r="B9" s="23"/>
      <c r="C9" s="23" t="s">
        <v>33</v>
      </c>
      <c r="D9" s="40">
        <v>1200000</v>
      </c>
      <c r="E9" s="40">
        <v>1200000</v>
      </c>
      <c r="F9" s="40">
        <v>1344000</v>
      </c>
      <c r="G9" s="40">
        <v>1140000</v>
      </c>
    </row>
    <row r="10" spans="2:7" outlineLevel="1" x14ac:dyDescent="0.2">
      <c r="B10" s="23"/>
      <c r="C10" s="23" t="s">
        <v>34</v>
      </c>
      <c r="D10" s="40">
        <v>0</v>
      </c>
      <c r="E10" s="40">
        <v>0</v>
      </c>
      <c r="F10" s="40">
        <v>144000</v>
      </c>
      <c r="G10" s="40">
        <v>-59999.999999999804</v>
      </c>
    </row>
    <row r="11" spans="2:7" outlineLevel="1" x14ac:dyDescent="0.2">
      <c r="B11" s="23"/>
      <c r="C11" s="23" t="s">
        <v>53</v>
      </c>
      <c r="D11" s="36"/>
      <c r="E11" s="36"/>
      <c r="F11" s="36"/>
      <c r="G11" s="36"/>
    </row>
    <row r="12" spans="2:7" outlineLevel="1" x14ac:dyDescent="0.2">
      <c r="B12" s="23"/>
      <c r="C12" s="23" t="s">
        <v>54</v>
      </c>
      <c r="D12" s="40">
        <v>-130000</v>
      </c>
      <c r="E12" s="40">
        <v>-130000</v>
      </c>
      <c r="F12" s="40">
        <v>14000</v>
      </c>
      <c r="G12" s="40">
        <v>-190000</v>
      </c>
    </row>
    <row r="13" spans="2:7" x14ac:dyDescent="0.2">
      <c r="B13" t="s">
        <v>43</v>
      </c>
    </row>
    <row r="14" spans="2:7" x14ac:dyDescent="0.2">
      <c r="B14" t="s">
        <v>44</v>
      </c>
    </row>
    <row r="15" spans="2:7" x14ac:dyDescent="0.2">
      <c r="B1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Forecast</vt:lpstr>
      <vt:lpstr>Scenarios </vt:lpstr>
      <vt:lpstr>Sensitivity</vt:lpstr>
      <vt:lpstr>Scenario Summary 1</vt:lpstr>
      <vt:lpstr>Scenario Summary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Koak</dc:creator>
  <cp:lastModifiedBy>Milind Koak</cp:lastModifiedBy>
  <dcterms:created xsi:type="dcterms:W3CDTF">2026-10-13T00:15:00Z</dcterms:created>
  <dcterms:modified xsi:type="dcterms:W3CDTF">2026-10-15T02:28:01Z</dcterms:modified>
</cp:coreProperties>
</file>